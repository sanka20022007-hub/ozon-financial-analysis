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Overview" sheetId="1" r:id="rId5"/>
    <sheet state="visible" name="Revenue Breakdown" sheetId="2" r:id="rId6"/>
    <sheet state="visible" name="Profitability &amp; Efficiency" sheetId="3" r:id="rId7"/>
    <sheet state="visible" name="Liquidity &amp; Debt" sheetId="4" r:id="rId8"/>
  </sheets>
  <definedNames/>
  <calcPr/>
</workbook>
</file>

<file path=xl/sharedStrings.xml><?xml version="1.0" encoding="utf-8"?>
<sst xmlns="http://schemas.openxmlformats.org/spreadsheetml/2006/main" count="77" uniqueCount="52">
  <si>
    <t>Показатель, млн ₽</t>
  </si>
  <si>
    <t>year</t>
  </si>
  <si>
    <t>cash</t>
  </si>
  <si>
    <t>debt</t>
  </si>
  <si>
    <t>Debt</t>
  </si>
  <si>
    <t>net cash</t>
  </si>
  <si>
    <t>cash growth</t>
  </si>
  <si>
    <t>-</t>
  </si>
  <si>
    <t>debt change</t>
  </si>
  <si>
    <t>cash/debt</t>
  </si>
  <si>
    <t>Year</t>
  </si>
  <si>
    <t>Adjusted EBITDA</t>
  </si>
  <si>
    <t>Operating profit / loss</t>
  </si>
  <si>
    <t>Revenue</t>
  </si>
  <si>
    <t>Revenue, mln ₽</t>
  </si>
  <si>
    <t>EBITDA margin</t>
  </si>
  <si>
    <t>Product sales revenue</t>
  </si>
  <si>
    <t>Adjusted EBITDA, mln ₽</t>
  </si>
  <si>
    <t>Key finding: Ozon significantly strengthened its liquidity position over 2023–2025.</t>
  </si>
  <si>
    <t>Services revenue</t>
  </si>
  <si>
    <t>EBTDA margin</t>
  </si>
  <si>
    <t>Cash increased almost fourfold, while debt declined in 2025, pushing the</t>
  </si>
  <si>
    <t>Fintech interest revenue</t>
  </si>
  <si>
    <t>Net income / loss</t>
  </si>
  <si>
    <t>cash-to-debt ratio from 1.63x to 7.99x.</t>
  </si>
  <si>
    <t>Total revenue</t>
  </si>
  <si>
    <t>Depreciation &amp; amortization</t>
  </si>
  <si>
    <t>Stock-based compensation</t>
  </si>
  <si>
    <t>Fire-related impact</t>
  </si>
  <si>
    <t>Product sales share</t>
  </si>
  <si>
    <t>Revenue growth</t>
  </si>
  <si>
    <t>Services Share</t>
  </si>
  <si>
    <t>Non-operating expenses</t>
  </si>
  <si>
    <t>Profit before tax</t>
  </si>
  <si>
    <t>Income tax expense</t>
  </si>
  <si>
    <t>Key finding: Ozon’s profitability improved significantly over 2023–2025. Adjusted EBITDA increased</t>
  </si>
  <si>
    <t>Fintech Share</t>
  </si>
  <si>
    <t>from RUB 6.4bn to RUB 156.4bn, while operating profit improved from a RUB 32.8bn loss to a RUB 71.4bn profit.</t>
  </si>
  <si>
    <t>Key finding: Ozon’s revenue structure is shifting toward services and fintech. Product sales share</t>
  </si>
  <si>
    <t>declined from 39.2% in 2023 to 26.3% in 2025, while fintech share increased from 3.5% to 12.4%.</t>
  </si>
  <si>
    <t>Показатель</t>
  </si>
  <si>
    <t>2024 vs 2023</t>
  </si>
  <si>
    <t>2025 vs 2024</t>
  </si>
  <si>
    <t>Cash growth</t>
  </si>
  <si>
    <t>Debt change</t>
  </si>
  <si>
    <t>Key finding: Fintech was the fastest-growing revenue stream, increasing by 250.2% in 2024 and 141.3% in 2025.</t>
  </si>
  <si>
    <t>Services also showed strong growth, while product sales expanded at a more moderate pace.</t>
  </si>
  <si>
    <t>Net cash/debt</t>
  </si>
  <si>
    <t>Key finding: Ozon demonstrated strong growth and improving operating efficiency over 2023–2025.</t>
  </si>
  <si>
    <t>Key finding: Adjusted EBITDA margin increased from 1.5% in 2023 to 15.7% in 2025,</t>
  </si>
  <si>
    <t>Revenue more than doubled, while Adjusted EBITDA increased from RUB 6.4bn to RUB 156.4bn.</t>
  </si>
  <si>
    <t>indicating a substantial improvement in operating efficiency.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</si>
</sst>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Arial"/>
      <scheme val="minor"/>
    </font>
    <font>
      <sz val="12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  <font>
      <sz val="12.0"/>
      <color rgb="FF000000"/>
      <name val="Arial"/>
    </font>
    <font>
      <sz val="12.0"/>
      <color theme="1"/>
      <name val="Arial"/>
      <scheme val="minor"/>
    </font>
    <font>
      <sz val="12.0"/>
      <color rgb="FF000000"/>
      <name val="-webkit-standar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  <xf borderId="0" fillId="0" fontId="0" numFmtId="0" xfId="0" applyAlignment="1" applyFont="1">
      <alignment horizontal="left" readingOrder="0"/>
    </xf>
    <xf borderId="0" fillId="0" fontId="0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0" numFmtId="0" xfId="0" applyAlignment="1" applyFont="1">
      <alignment readingOrder="0"/>
    </xf>
    <xf borderId="0" fillId="0" fontId="1" numFmtId="4" xfId="0" applyFont="1" applyNumberForma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0" numFmtId="10" xfId="0" applyAlignment="1" applyFont="1" applyNumberFormat="1">
      <alignment horizontal="right" readingOrder="0"/>
    </xf>
    <xf borderId="0" fillId="0" fontId="5" numFmtId="0" xfId="0" applyAlignment="1" applyFont="1">
      <alignment readingOrder="0"/>
    </xf>
    <xf borderId="0" fillId="0" fontId="0" numFmtId="1" xfId="0" applyAlignment="1" applyFont="1" applyNumberFormat="1">
      <alignment horizontal="right" readingOrder="0"/>
    </xf>
    <xf borderId="0" fillId="0" fontId="6" numFmtId="0" xfId="0" applyAlignment="1" applyFont="1">
      <alignment readingOrder="0"/>
    </xf>
    <xf borderId="0" fillId="0" fontId="1" numFmtId="1" xfId="0" applyFont="1" applyNumberFormat="1"/>
    <xf borderId="0" fillId="0" fontId="1" numFmtId="10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'Financial Overview'!$F$1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'Financial Overview'!$F$2:$F$4</c:f>
              <c:numCache/>
            </c:numRef>
          </c:val>
        </c:ser>
        <c:ser>
          <c:idx val="1"/>
          <c:order val="1"/>
          <c:tx>
            <c:strRef>
              <c:f>'Financial Overview'!$G$1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'Financial Overview'!$G$2:$G$4</c:f>
              <c:numCache/>
            </c:numRef>
          </c:val>
        </c:ser>
        <c:ser>
          <c:idx val="2"/>
          <c:order val="2"/>
          <c:tx>
            <c:strRef>
              <c:f>'Financial Overview'!$H$1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'Financial Overview'!$H$2:$H$4</c:f>
              <c:numCache/>
            </c:numRef>
          </c:val>
        </c:ser>
        <c:axId val="1667360275"/>
        <c:axId val="2020081817"/>
      </c:barChart>
      <c:catAx>
        <c:axId val="1667360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0081817"/>
      </c:catAx>
      <c:valAx>
        <c:axId val="20200818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3602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'Financial Overview'!$M$1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'Financial Overview'!$L$2:$L$4</c:f>
            </c:strRef>
          </c:cat>
          <c:val>
            <c:numRef>
              <c:f>'Financial Overview'!$M$2:$M$4</c:f>
              <c:numCache/>
            </c:numRef>
          </c:val>
          <c:smooth val="0"/>
        </c:ser>
        <c:axId val="1996713570"/>
        <c:axId val="168958654"/>
      </c:lineChart>
      <c:catAx>
        <c:axId val="1996713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958654"/>
      </c:catAx>
      <c:valAx>
        <c:axId val="168958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713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'Revenue Breakdown'!$A$6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'Revenue Breakdown'!$B$1:$D$1</c:f>
            </c:strRef>
          </c:cat>
          <c:val>
            <c:numRef>
              <c:f>'Revenue Breakdown'!$B$6:$D$6</c:f>
              <c:numCache/>
            </c:numRef>
          </c:val>
        </c:ser>
        <c:ser>
          <c:idx val="1"/>
          <c:order val="1"/>
          <c:tx>
            <c:strRef>
              <c:f>'Revenue Breakdown'!$A$7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'Revenue Breakdown'!$B$1:$D$1</c:f>
            </c:strRef>
          </c:cat>
          <c:val>
            <c:numRef>
              <c:f>'Revenue Breakdown'!$B$7:$D$7</c:f>
              <c:numCache/>
            </c:numRef>
          </c:val>
        </c:ser>
        <c:ser>
          <c:idx val="2"/>
          <c:order val="2"/>
          <c:tx>
            <c:strRef>
              <c:f>'Revenue Breakdown'!$A$8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'Revenue Breakdown'!$B$1:$D$1</c:f>
            </c:strRef>
          </c:cat>
          <c:val>
            <c:numRef>
              <c:f>'Revenue Breakdown'!$B$8:$D$8</c:f>
              <c:numCache/>
            </c:numRef>
          </c:val>
        </c:ser>
        <c:overlap val="100"/>
        <c:axId val="226540811"/>
        <c:axId val="1747485387"/>
      </c:barChart>
      <c:catAx>
        <c:axId val="226540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7485387"/>
      </c:catAx>
      <c:valAx>
        <c:axId val="1747485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5408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Ozon Revenue Growth by Segment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 Breakdown'!$A$27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'Revenue Breakdown'!$B$26:$C$26</c:f>
            </c:strRef>
          </c:cat>
          <c:val>
            <c:numRef>
              <c:f>'Revenue Breakdown'!$B$27:$C$27</c:f>
              <c:numCache/>
            </c:numRef>
          </c:val>
        </c:ser>
        <c:ser>
          <c:idx val="1"/>
          <c:order val="1"/>
          <c:tx>
            <c:strRef>
              <c:f>'Revenue Breakdown'!$A$28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'Revenue Breakdown'!$B$26:$C$26</c:f>
            </c:strRef>
          </c:cat>
          <c:val>
            <c:numRef>
              <c:f>'Revenue Breakdown'!$B$28:$C$28</c:f>
              <c:numCache/>
            </c:numRef>
          </c:val>
        </c:ser>
        <c:ser>
          <c:idx val="2"/>
          <c:order val="2"/>
          <c:tx>
            <c:strRef>
              <c:f>'Revenue Breakdown'!$A$29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'Revenue Breakdown'!$B$26:$C$26</c:f>
            </c:strRef>
          </c:cat>
          <c:val>
            <c:numRef>
              <c:f>'Revenue Breakdown'!$B$29:$C$29</c:f>
              <c:numCache/>
            </c:numRef>
          </c:val>
        </c:ser>
        <c:axId val="2087419001"/>
        <c:axId val="1826997863"/>
      </c:barChart>
      <c:catAx>
        <c:axId val="2087419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997863"/>
      </c:catAx>
      <c:valAx>
        <c:axId val="1826997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7419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Adjusted EBITDA vs Operating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'Profitability &amp; Efficiency'!$H$1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'Profitability &amp; Efficiency'!$G$2:$G$4</c:f>
            </c:strRef>
          </c:cat>
          <c:val>
            <c:numRef>
              <c:f>'Profitability &amp; Efficiency'!$H$2:$H$4</c:f>
              <c:numCache/>
            </c:numRef>
          </c:val>
        </c:ser>
        <c:ser>
          <c:idx val="1"/>
          <c:order val="1"/>
          <c:tx>
            <c:strRef>
              <c:f>'Profitability &amp; Efficiency'!$I$1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'Profitability &amp; Efficiency'!$G$2:$G$4</c:f>
            </c:strRef>
          </c:cat>
          <c:val>
            <c:numRef>
              <c:f>'Profitability &amp; Efficiency'!$I$2:$I$4</c:f>
              <c:numCache/>
            </c:numRef>
          </c:val>
        </c:ser>
        <c:axId val="84969883"/>
        <c:axId val="1624543801"/>
      </c:barChart>
      <c:catAx>
        <c:axId val="84969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543801"/>
      </c:catAx>
      <c:valAx>
        <c:axId val="1624543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969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'Profitability &amp; Efficiency'!$B$23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'Profitability &amp; Efficiency'!$A$24:$A$26</c:f>
            </c:strRef>
          </c:cat>
          <c:val>
            <c:numRef>
              <c:f>'Profitability &amp; Efficiency'!$B$24:$B$26</c:f>
              <c:numCache/>
            </c:numRef>
          </c:val>
        </c:ser>
        <c:ser>
          <c:idx val="1"/>
          <c:order val="1"/>
          <c:tx>
            <c:strRef>
              <c:f>'Profitability &amp; Efficiency'!$C$23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'Profitability &amp; Efficiency'!$A$24:$A$26</c:f>
            </c:strRef>
          </c:cat>
          <c:val>
            <c:numRef>
              <c:f>'Profitability &amp; Efficiency'!$C$24:$C$26</c:f>
              <c:numCache/>
            </c:numRef>
          </c:val>
        </c:ser>
        <c:ser>
          <c:idx val="2"/>
          <c:order val="2"/>
          <c:tx>
            <c:strRef>
              <c:f>'Profitability &amp; Efficiency'!$D$23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'Profitability &amp; Efficiency'!$A$24:$A$26</c:f>
            </c:strRef>
          </c:cat>
          <c:val>
            <c:numRef>
              <c:f>'Profitability &amp; Efficiency'!$D$24:$D$26</c:f>
              <c:numCache/>
            </c:numRef>
          </c:val>
        </c:ser>
        <c:axId val="1497470581"/>
        <c:axId val="697564034"/>
      </c:barChart>
      <c:catAx>
        <c:axId val="1497470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564034"/>
      </c:catAx>
      <c:valAx>
        <c:axId val="697564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74705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vs Debt, 2023–2025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'Liquidity &amp; Debt'!$G$1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'Liquidity &amp; Debt'!$F$2:$F$4</c:f>
            </c:strRef>
          </c:cat>
          <c:val>
            <c:numRef>
              <c:f>'Liquidity &amp; Debt'!$G$2:$G$4</c:f>
              <c:numCache/>
            </c:numRef>
          </c:val>
        </c:ser>
        <c:ser>
          <c:idx val="1"/>
          <c:order val="1"/>
          <c:tx>
            <c:strRef>
              <c:f>'Liquidity &amp; Debt'!$H$1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'Liquidity &amp; Debt'!$F$2:$F$4</c:f>
            </c:strRef>
          </c:cat>
          <c:val>
            <c:numRef>
              <c:f>'Liquidity &amp; Debt'!$H$2:$H$4</c:f>
              <c:numCache/>
            </c:numRef>
          </c:val>
        </c:ser>
        <c:axId val="168534536"/>
        <c:axId val="1457392196"/>
      </c:barChart>
      <c:catAx>
        <c:axId val="168534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7392196"/>
      </c:catAx>
      <c:valAx>
        <c:axId val="1457392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5345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3</xdr:row>
      <xdr:rowOff>209550</xdr:rowOff>
    </xdr:from>
    <xdr:ext cx="3781425" cy="233362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847725</xdr:colOff>
      <xdr:row>4</xdr:row>
      <xdr:rowOff>0</xdr:rowOff>
    </xdr:from>
    <xdr:ext cx="3714750" cy="229552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171450</xdr:rowOff>
    </xdr:from>
    <xdr:ext cx="4314825" cy="240982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31</xdr:row>
      <xdr:rowOff>38100</xdr:rowOff>
    </xdr:from>
    <xdr:ext cx="4505325" cy="279082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4</xdr:row>
      <xdr:rowOff>0</xdr:rowOff>
    </xdr:from>
    <xdr:ext cx="4581525" cy="25812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0</xdr:rowOff>
    </xdr:from>
    <xdr:ext cx="5133975" cy="317182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3</xdr:row>
      <xdr:rowOff>180975</xdr:rowOff>
    </xdr:from>
    <xdr:ext cx="2914650" cy="157162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8" max="8" width="24.88"/>
  </cols>
  <sheetData>
    <row r="1">
      <c r="A1" s="1" t="s">
        <v>0</v>
      </c>
      <c r="B1" s="1">
        <v>2023.0</v>
      </c>
      <c r="C1" s="1">
        <v>2024.0</v>
      </c>
      <c r="D1" s="1">
        <v>2025.0</v>
      </c>
      <c r="F1" s="1" t="s">
        <v>10</v>
      </c>
      <c r="G1" s="12" t="s">
        <v>14</v>
      </c>
      <c r="H1" s="14" t="s">
        <v>17</v>
      </c>
      <c r="L1" s="1" t="s">
        <v>10</v>
      </c>
      <c r="M1" s="1" t="s">
        <v>20</v>
      </c>
    </row>
    <row r="2">
      <c r="A2" s="16" t="s">
        <v>13</v>
      </c>
      <c r="B2" s="1">
        <v>424291.0</v>
      </c>
      <c r="C2" s="1">
        <v>613324.0</v>
      </c>
      <c r="D2" s="1">
        <v>997989.0</v>
      </c>
      <c r="F2" s="1">
        <v>2023.0</v>
      </c>
      <c r="G2" s="2">
        <f>B2</f>
        <v>424291</v>
      </c>
      <c r="H2" s="2">
        <f>B10</f>
        <v>6399</v>
      </c>
      <c r="L2" s="1">
        <v>2023.0</v>
      </c>
      <c r="M2" s="3">
        <f>B11</f>
        <v>0.0150816303</v>
      </c>
    </row>
    <row r="3">
      <c r="A3" s="16" t="s">
        <v>30</v>
      </c>
      <c r="C3" s="18">
        <f t="shared" ref="C3:D3" si="1">(C2-B2)/B2</f>
        <v>0.4455267729</v>
      </c>
      <c r="D3" s="3">
        <f t="shared" si="1"/>
        <v>0.6271807397</v>
      </c>
      <c r="F3" s="1">
        <v>2024.0</v>
      </c>
      <c r="G3" s="2">
        <f>C2</f>
        <v>613324</v>
      </c>
      <c r="H3" s="2">
        <f>C10</f>
        <v>40079</v>
      </c>
      <c r="L3" s="1">
        <v>2024.0</v>
      </c>
      <c r="M3" s="3">
        <f>C11</f>
        <v>0.06534719007</v>
      </c>
    </row>
    <row r="4">
      <c r="A4" s="19" t="s">
        <v>23</v>
      </c>
      <c r="B4" s="1">
        <v>-42665.0</v>
      </c>
      <c r="C4" s="1">
        <v>-59442.0</v>
      </c>
      <c r="D4" s="1">
        <v>-938.0</v>
      </c>
      <c r="F4" s="1">
        <v>2025.0</v>
      </c>
      <c r="G4" s="2">
        <f>D2</f>
        <v>997989</v>
      </c>
      <c r="H4" s="2">
        <f>D10</f>
        <v>156381</v>
      </c>
      <c r="L4" s="1">
        <v>2025.0</v>
      </c>
      <c r="M4" s="3">
        <f>D11</f>
        <v>0.1566961159</v>
      </c>
    </row>
    <row r="5">
      <c r="A5" s="16" t="s">
        <v>2</v>
      </c>
      <c r="B5" s="1">
        <v>169814.0</v>
      </c>
      <c r="C5" s="1">
        <v>349198.0</v>
      </c>
      <c r="D5" s="1">
        <v>650730.0</v>
      </c>
    </row>
    <row r="6">
      <c r="A6" s="19" t="s">
        <v>4</v>
      </c>
      <c r="B6" s="1">
        <v>104371.0</v>
      </c>
      <c r="C6" s="1">
        <v>118450.0</v>
      </c>
      <c r="D6" s="1">
        <v>81412.0</v>
      </c>
    </row>
    <row r="7">
      <c r="A7" s="19" t="s">
        <v>43</v>
      </c>
      <c r="B7" s="1" t="s">
        <v>7</v>
      </c>
      <c r="C7" s="18">
        <f t="shared" ref="C7:D7" si="2">(C5-B5)/B5</f>
        <v>1.056355777</v>
      </c>
      <c r="D7" s="3">
        <f t="shared" si="2"/>
        <v>0.8634986455</v>
      </c>
    </row>
    <row r="8">
      <c r="A8" s="19" t="s">
        <v>44</v>
      </c>
      <c r="C8" s="18">
        <f t="shared" ref="C8:D8" si="3">(C6-B6)/B6</f>
        <v>0.1348937923</v>
      </c>
      <c r="D8" s="3">
        <f t="shared" si="3"/>
        <v>-0.3126888983</v>
      </c>
    </row>
    <row r="9">
      <c r="A9" s="19" t="s">
        <v>47</v>
      </c>
      <c r="B9" s="2">
        <f t="shared" ref="B9:D9" si="4">B5-B6</f>
        <v>65443</v>
      </c>
      <c r="C9" s="2">
        <f t="shared" si="4"/>
        <v>230748</v>
      </c>
      <c r="D9" s="2">
        <f t="shared" si="4"/>
        <v>569318</v>
      </c>
    </row>
    <row r="10">
      <c r="A10" s="19" t="s">
        <v>11</v>
      </c>
      <c r="B10" s="1">
        <v>6399.0</v>
      </c>
      <c r="C10" s="1">
        <v>40079.0</v>
      </c>
      <c r="D10" s="1">
        <v>156381.0</v>
      </c>
    </row>
    <row r="11">
      <c r="A11" s="20" t="s">
        <v>15</v>
      </c>
      <c r="B11" s="3">
        <f t="shared" ref="B11:D11" si="5">B10/B2</f>
        <v>0.0150816303</v>
      </c>
      <c r="C11" s="3">
        <f t="shared" si="5"/>
        <v>0.06534719007</v>
      </c>
      <c r="D11" s="3">
        <f t="shared" si="5"/>
        <v>0.1566961159</v>
      </c>
    </row>
    <row r="12">
      <c r="B12" s="21"/>
      <c r="J12" s="1"/>
      <c r="K12" s="1"/>
      <c r="L12" s="1"/>
      <c r="M12" s="1"/>
    </row>
    <row r="13">
      <c r="J13" s="1"/>
      <c r="K13" s="1"/>
      <c r="L13" s="1"/>
      <c r="M13" s="1"/>
    </row>
    <row r="16">
      <c r="F16" s="1" t="s">
        <v>48</v>
      </c>
      <c r="L16" s="1" t="s">
        <v>49</v>
      </c>
    </row>
    <row r="17">
      <c r="F17" s="1" t="s">
        <v>50</v>
      </c>
      <c r="L17" s="1" t="s">
        <v>51</v>
      </c>
    </row>
    <row r="19">
      <c r="E19" s="22"/>
      <c r="F19" s="22"/>
      <c r="G19" s="22"/>
      <c r="H19" s="22"/>
      <c r="I19" s="22"/>
      <c r="J19" s="22"/>
      <c r="K19" s="22"/>
      <c r="L19" s="22"/>
    </row>
    <row r="20">
      <c r="E20" s="22"/>
      <c r="F20" s="22"/>
      <c r="G20" s="22"/>
      <c r="H20" s="22"/>
      <c r="I20" s="22"/>
      <c r="J20" s="22"/>
      <c r="K20" s="22"/>
      <c r="L20" s="22"/>
    </row>
    <row r="21">
      <c r="E21" s="22"/>
      <c r="F21" s="22"/>
      <c r="G21" s="22"/>
      <c r="H21" s="22"/>
      <c r="I21" s="22"/>
    </row>
    <row r="22">
      <c r="E22" s="22"/>
      <c r="F22" s="22"/>
      <c r="G22" s="22"/>
      <c r="H22" s="22"/>
      <c r="I22" s="22"/>
    </row>
  </sheetData>
  <mergeCells count="4">
    <mergeCell ref="F16:J16"/>
    <mergeCell ref="L16:P16"/>
    <mergeCell ref="F17:J17"/>
    <mergeCell ref="L17:P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  <c r="B1" s="1">
        <v>2023.0</v>
      </c>
      <c r="C1" s="1">
        <v>2024.0</v>
      </c>
      <c r="D1" s="1">
        <v>2025.0</v>
      </c>
    </row>
    <row r="2">
      <c r="A2" s="1" t="s">
        <v>16</v>
      </c>
      <c r="B2" s="1">
        <v>166364.0</v>
      </c>
      <c r="C2" s="1">
        <v>195708.0</v>
      </c>
      <c r="D2" s="1">
        <v>262913.0</v>
      </c>
    </row>
    <row r="3">
      <c r="A3" s="1" t="s">
        <v>19</v>
      </c>
      <c r="B3" s="8">
        <v>243249.0</v>
      </c>
      <c r="C3" s="1">
        <v>368628.0</v>
      </c>
      <c r="D3" s="1">
        <v>611052.0</v>
      </c>
    </row>
    <row r="4">
      <c r="A4" s="1" t="s">
        <v>22</v>
      </c>
      <c r="B4" s="1">
        <v>14678.0</v>
      </c>
      <c r="C4" s="1">
        <v>51396.0</v>
      </c>
      <c r="D4" s="1">
        <v>124024.0</v>
      </c>
    </row>
    <row r="5">
      <c r="A5" s="1" t="s">
        <v>25</v>
      </c>
      <c r="B5" s="1">
        <v>424219.0</v>
      </c>
      <c r="C5" s="1">
        <v>615732.0</v>
      </c>
      <c r="D5" s="2">
        <f>D2+D3+D4</f>
        <v>997989</v>
      </c>
    </row>
    <row r="6">
      <c r="A6" s="1" t="s">
        <v>29</v>
      </c>
      <c r="B6" s="3">
        <f t="shared" ref="B6:D6" si="1">B2/B5</f>
        <v>0.3921653674</v>
      </c>
      <c r="C6" s="3">
        <f t="shared" si="1"/>
        <v>0.3178460759</v>
      </c>
      <c r="D6" s="3">
        <f t="shared" si="1"/>
        <v>0.2634427834</v>
      </c>
    </row>
    <row r="7">
      <c r="A7" s="1" t="s">
        <v>31</v>
      </c>
      <c r="B7" s="3">
        <f t="shared" ref="B7:D7" si="2">B3/B5</f>
        <v>0.573404303</v>
      </c>
      <c r="C7" s="3">
        <f t="shared" si="2"/>
        <v>0.5986825437</v>
      </c>
      <c r="D7" s="3">
        <f t="shared" si="2"/>
        <v>0.6122833017</v>
      </c>
    </row>
    <row r="8">
      <c r="A8" s="1" t="s">
        <v>36</v>
      </c>
      <c r="B8" s="3">
        <f t="shared" ref="B8:D8" si="3">B4/B5</f>
        <v>0.03460005327</v>
      </c>
      <c r="C8" s="3">
        <f t="shared" si="3"/>
        <v>0.08347138041</v>
      </c>
      <c r="D8" s="3">
        <f t="shared" si="3"/>
        <v>0.1242739148</v>
      </c>
    </row>
    <row r="21">
      <c r="A21" s="1" t="s">
        <v>38</v>
      </c>
    </row>
    <row r="22">
      <c r="A22" s="1" t="s">
        <v>39</v>
      </c>
    </row>
    <row r="26">
      <c r="A26" s="1" t="s">
        <v>40</v>
      </c>
      <c r="B26" s="1" t="s">
        <v>41</v>
      </c>
      <c r="C26" s="1" t="s">
        <v>42</v>
      </c>
    </row>
    <row r="27">
      <c r="A27" s="1" t="s">
        <v>29</v>
      </c>
      <c r="B27" s="3">
        <f t="shared" ref="B27:C27" si="4">(C2-B2)/B2</f>
        <v>0.1763843139</v>
      </c>
      <c r="C27" s="3">
        <f t="shared" si="4"/>
        <v>0.3433942404</v>
      </c>
    </row>
    <row r="28">
      <c r="A28" s="1" t="s">
        <v>31</v>
      </c>
      <c r="B28" s="3">
        <f t="shared" ref="B28:C28" si="5">(C3-B3)/B3</f>
        <v>0.5154348014</v>
      </c>
      <c r="C28" s="3">
        <f t="shared" si="5"/>
        <v>0.657638595</v>
      </c>
    </row>
    <row r="29">
      <c r="A29" s="1" t="s">
        <v>36</v>
      </c>
      <c r="B29" s="3">
        <f t="shared" ref="B29:C29" si="6">(C4-B4)/B4</f>
        <v>2.501566971</v>
      </c>
      <c r="C29" s="3">
        <f t="shared" si="6"/>
        <v>1.413106078</v>
      </c>
    </row>
    <row r="30">
      <c r="A30" s="1" t="s">
        <v>45</v>
      </c>
    </row>
    <row r="31">
      <c r="A31" s="1" t="s">
        <v>46</v>
      </c>
    </row>
  </sheetData>
  <mergeCells count="4">
    <mergeCell ref="A21:F21"/>
    <mergeCell ref="A22:F22"/>
    <mergeCell ref="A30:G30"/>
    <mergeCell ref="A31:G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7.63"/>
    <col customWidth="1" min="3" max="3" width="13.38"/>
    <col customWidth="1" min="4" max="4" width="14.38"/>
    <col customWidth="1" min="8" max="8" width="21.13"/>
    <col customWidth="1" min="9" max="9" width="26.5"/>
  </cols>
  <sheetData>
    <row r="1">
      <c r="A1" s="4" t="s">
        <v>0</v>
      </c>
      <c r="B1" s="5">
        <v>2023.0</v>
      </c>
      <c r="C1" s="5">
        <v>2024.0</v>
      </c>
      <c r="D1" s="5">
        <v>2025.0</v>
      </c>
      <c r="G1" s="6" t="s">
        <v>10</v>
      </c>
      <c r="H1" s="7" t="s">
        <v>11</v>
      </c>
      <c r="I1" s="7" t="s">
        <v>12</v>
      </c>
    </row>
    <row r="2">
      <c r="A2" s="8" t="s">
        <v>13</v>
      </c>
      <c r="B2" s="5">
        <v>424291.0</v>
      </c>
      <c r="C2" s="5">
        <v>613324.0</v>
      </c>
      <c r="D2" s="5">
        <v>997989.0</v>
      </c>
      <c r="G2" s="10">
        <v>2023.0</v>
      </c>
      <c r="H2" s="11">
        <v>6399.0</v>
      </c>
      <c r="I2" s="11">
        <v>-32755.0</v>
      </c>
    </row>
    <row r="3">
      <c r="A3" s="8" t="s">
        <v>11</v>
      </c>
      <c r="B3" s="5">
        <v>6399.0</v>
      </c>
      <c r="C3" s="5">
        <v>40079.0</v>
      </c>
      <c r="D3" s="5">
        <v>156381.0</v>
      </c>
      <c r="G3" s="10">
        <v>2024.0</v>
      </c>
      <c r="H3" s="11">
        <v>40079.0</v>
      </c>
      <c r="I3" s="11">
        <v>-9508.0</v>
      </c>
    </row>
    <row r="4">
      <c r="A4" s="8" t="s">
        <v>15</v>
      </c>
      <c r="B4" s="13">
        <v>0.015</v>
      </c>
      <c r="C4" s="13">
        <v>0.065</v>
      </c>
      <c r="D4" s="13">
        <v>0.157</v>
      </c>
      <c r="G4" s="10">
        <v>2025.0</v>
      </c>
      <c r="H4" s="11">
        <v>156381.0</v>
      </c>
      <c r="I4" s="11">
        <v>71370.0</v>
      </c>
    </row>
    <row r="5">
      <c r="A5" s="8" t="s">
        <v>12</v>
      </c>
      <c r="B5" s="15">
        <v>-32755.0</v>
      </c>
      <c r="C5" s="5">
        <v>-9508.0</v>
      </c>
      <c r="D5" s="5">
        <v>71370.0</v>
      </c>
    </row>
    <row r="6">
      <c r="A6" s="8" t="s">
        <v>23</v>
      </c>
      <c r="B6" s="5">
        <v>-42665.0</v>
      </c>
      <c r="C6" s="5">
        <v>-59442.0</v>
      </c>
      <c r="D6" s="5">
        <v>-938.0</v>
      </c>
    </row>
    <row r="7">
      <c r="A7" s="8" t="s">
        <v>26</v>
      </c>
      <c r="B7" s="8">
        <v>-28082.0</v>
      </c>
      <c r="C7" s="8">
        <v>-43282.0</v>
      </c>
      <c r="D7" s="8">
        <v>-62207.0</v>
      </c>
    </row>
    <row r="8">
      <c r="A8" s="8" t="s">
        <v>27</v>
      </c>
      <c r="B8" s="8">
        <v>-10298.0</v>
      </c>
      <c r="C8" s="8">
        <v>-12568.0</v>
      </c>
      <c r="D8" s="8">
        <v>-22269.0</v>
      </c>
    </row>
    <row r="9">
      <c r="A9" s="8" t="s">
        <v>28</v>
      </c>
      <c r="B9" s="8">
        <v>-774.0</v>
      </c>
      <c r="C9" s="8">
        <v>6263.0</v>
      </c>
      <c r="D9" s="8">
        <v>-535.0</v>
      </c>
    </row>
    <row r="10">
      <c r="A10" s="8" t="s">
        <v>12</v>
      </c>
      <c r="B10" s="8">
        <f t="shared" ref="B10:D10" si="1">B3+B7+B8+B9</f>
        <v>-32755</v>
      </c>
      <c r="C10" s="8">
        <f t="shared" si="1"/>
        <v>-9508</v>
      </c>
      <c r="D10" s="8">
        <f t="shared" si="1"/>
        <v>71370</v>
      </c>
    </row>
    <row r="14">
      <c r="A14" s="1" t="s">
        <v>0</v>
      </c>
      <c r="B14" s="1">
        <v>2023.0</v>
      </c>
      <c r="C14" s="1">
        <v>2024.0</v>
      </c>
      <c r="D14" s="1">
        <v>2025.0</v>
      </c>
    </row>
    <row r="15">
      <c r="A15" s="2" t="str">
        <f t="shared" ref="A15:D15" si="2">A5</f>
        <v>Operating profit / loss</v>
      </c>
      <c r="B15" s="17">
        <f t="shared" si="2"/>
        <v>-32755</v>
      </c>
      <c r="C15" s="2">
        <f t="shared" si="2"/>
        <v>-9508</v>
      </c>
      <c r="D15" s="2">
        <f t="shared" si="2"/>
        <v>71370</v>
      </c>
    </row>
    <row r="16">
      <c r="A16" s="1" t="s">
        <v>32</v>
      </c>
      <c r="B16" s="1">
        <v>-8243.0</v>
      </c>
      <c r="C16" s="1">
        <v>-45642.0</v>
      </c>
      <c r="D16" s="1">
        <v>-64595.0</v>
      </c>
    </row>
    <row r="17">
      <c r="A17" s="1" t="s">
        <v>33</v>
      </c>
      <c r="B17" s="1">
        <v>-40998.0</v>
      </c>
      <c r="C17" s="1">
        <v>-55150.0</v>
      </c>
      <c r="D17" s="1">
        <v>6775.0</v>
      </c>
    </row>
    <row r="18">
      <c r="A18" s="1" t="s">
        <v>34</v>
      </c>
      <c r="B18" s="1">
        <v>-1667.0</v>
      </c>
      <c r="C18" s="1">
        <v>-4292.0</v>
      </c>
      <c r="D18" s="1">
        <v>-7713.0</v>
      </c>
      <c r="G18" s="1" t="s">
        <v>35</v>
      </c>
    </row>
    <row r="19">
      <c r="A19" s="1" t="s">
        <v>23</v>
      </c>
      <c r="B19" s="2">
        <f t="shared" ref="B19:C19" si="3">B6</f>
        <v>-42665</v>
      </c>
      <c r="C19" s="2">
        <f t="shared" si="3"/>
        <v>-59442</v>
      </c>
      <c r="D19" s="1">
        <v>-938.0</v>
      </c>
      <c r="G19" s="1" t="s">
        <v>37</v>
      </c>
    </row>
    <row r="23">
      <c r="A23" s="1" t="s">
        <v>10</v>
      </c>
      <c r="B23" s="2" t="str">
        <f>A15</f>
        <v>Operating profit / loss</v>
      </c>
      <c r="C23" s="1" t="s">
        <v>33</v>
      </c>
      <c r="D23" s="1" t="s">
        <v>23</v>
      </c>
    </row>
    <row r="24">
      <c r="A24" s="1">
        <v>2023.0</v>
      </c>
      <c r="B24" s="17">
        <f>B5</f>
        <v>-32755</v>
      </c>
      <c r="C24" s="2">
        <f>B17</f>
        <v>-40998</v>
      </c>
      <c r="D24" s="2">
        <f>B19</f>
        <v>-42665</v>
      </c>
    </row>
    <row r="25">
      <c r="A25" s="1">
        <v>2024.0</v>
      </c>
      <c r="B25" s="2">
        <f>C5</f>
        <v>-9508</v>
      </c>
      <c r="C25" s="2">
        <f>C17</f>
        <v>-55150</v>
      </c>
      <c r="D25" s="2">
        <f>C19</f>
        <v>-59442</v>
      </c>
    </row>
    <row r="26">
      <c r="A26" s="1">
        <v>2025.0</v>
      </c>
      <c r="B26" s="2">
        <f>D5</f>
        <v>71370</v>
      </c>
      <c r="C26" s="2">
        <f>D17</f>
        <v>6775</v>
      </c>
      <c r="D26" s="2">
        <f>D19</f>
        <v>-938</v>
      </c>
    </row>
  </sheetData>
  <mergeCells count="2">
    <mergeCell ref="G19:K19"/>
    <mergeCell ref="G18:M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1" t="s">
        <v>0</v>
      </c>
      <c r="B1" s="1">
        <v>2023.0</v>
      </c>
      <c r="C1" s="1">
        <v>2024.0</v>
      </c>
      <c r="D1" s="1">
        <v>2025.0</v>
      </c>
      <c r="F1" s="1" t="s">
        <v>1</v>
      </c>
      <c r="G1" s="1" t="s">
        <v>2</v>
      </c>
      <c r="H1" s="1" t="s">
        <v>3</v>
      </c>
    </row>
    <row r="2">
      <c r="A2" s="1" t="s">
        <v>2</v>
      </c>
      <c r="B2" s="1">
        <v>169814.0</v>
      </c>
      <c r="C2" s="1">
        <v>349198.0</v>
      </c>
      <c r="D2" s="1">
        <v>650730.0</v>
      </c>
      <c r="F2" s="1">
        <v>2023.0</v>
      </c>
      <c r="G2" s="2">
        <f>B2</f>
        <v>169814</v>
      </c>
      <c r="H2" s="2">
        <f>B3</f>
        <v>104371</v>
      </c>
    </row>
    <row r="3">
      <c r="A3" s="1" t="s">
        <v>4</v>
      </c>
      <c r="B3" s="2">
        <f>16043+88328</f>
        <v>104371</v>
      </c>
      <c r="C3" s="2">
        <f>76606+41844</f>
        <v>118450</v>
      </c>
      <c r="D3" s="2">
        <f>1032+80380</f>
        <v>81412</v>
      </c>
      <c r="F3" s="1">
        <v>2024.0</v>
      </c>
      <c r="G3" s="2">
        <f>C2</f>
        <v>349198</v>
      </c>
      <c r="H3" s="2">
        <f>C3</f>
        <v>118450</v>
      </c>
    </row>
    <row r="4">
      <c r="A4" s="1" t="s">
        <v>5</v>
      </c>
      <c r="B4" s="2">
        <f t="shared" ref="B4:D4" si="1">B2-B3</f>
        <v>65443</v>
      </c>
      <c r="C4" s="2">
        <f t="shared" si="1"/>
        <v>230748</v>
      </c>
      <c r="D4" s="2">
        <f t="shared" si="1"/>
        <v>569318</v>
      </c>
      <c r="F4" s="1">
        <v>2025.0</v>
      </c>
      <c r="G4" s="2">
        <f>D2</f>
        <v>650730</v>
      </c>
      <c r="H4" s="2">
        <f>D3</f>
        <v>81412</v>
      </c>
    </row>
    <row r="5">
      <c r="A5" s="1" t="s">
        <v>6</v>
      </c>
      <c r="B5" s="1" t="s">
        <v>7</v>
      </c>
      <c r="C5" s="3">
        <f t="shared" ref="C5:D5" si="2">(C2-B2)/B2</f>
        <v>1.056355777</v>
      </c>
      <c r="D5" s="3">
        <f t="shared" si="2"/>
        <v>0.8634986455</v>
      </c>
    </row>
    <row r="6">
      <c r="A6" s="1" t="s">
        <v>8</v>
      </c>
      <c r="B6" s="1" t="s">
        <v>7</v>
      </c>
      <c r="C6" s="3">
        <f t="shared" ref="C6:D6" si="3">(C3-B3)/B3</f>
        <v>0.1348937923</v>
      </c>
      <c r="D6" s="3">
        <f t="shared" si="3"/>
        <v>-0.3126888983</v>
      </c>
    </row>
    <row r="7">
      <c r="A7" s="1" t="s">
        <v>9</v>
      </c>
      <c r="B7" s="9">
        <f t="shared" ref="B7:D7" si="4">B2/B3</f>
        <v>1.627022832</v>
      </c>
      <c r="C7" s="9">
        <f t="shared" si="4"/>
        <v>2.948062474</v>
      </c>
      <c r="D7" s="9">
        <f t="shared" si="4"/>
        <v>7.993047708</v>
      </c>
    </row>
    <row r="13">
      <c r="F13" s="1" t="s">
        <v>18</v>
      </c>
    </row>
    <row r="14">
      <c r="F14" s="1" t="s">
        <v>21</v>
      </c>
    </row>
    <row r="15">
      <c r="F15" s="1" t="s">
        <v>24</v>
      </c>
    </row>
  </sheetData>
  <mergeCells count="3">
    <mergeCell ref="F13:J13"/>
    <mergeCell ref="F14:J14"/>
    <mergeCell ref="F15:I15"/>
  </mergeCells>
  <drawing r:id="rId1"/>
</worksheet>
</file>